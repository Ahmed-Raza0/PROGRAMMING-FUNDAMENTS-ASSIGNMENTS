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PROGRAMMING-FUNDAMENTS-ASSIGNMENTS\PROGRAMMING-FUNDAMENTS-ASSIGNMENTS\"/>
    </mc:Choice>
  </mc:AlternateContent>
  <xr:revisionPtr revIDLastSave="0" documentId="13_ncr:1_{B1A41BBF-D1B8-48A6-A0BB-6E99486B8040}" xr6:coauthVersionLast="47" xr6:coauthVersionMax="47" xr10:uidLastSave="{00000000-0000-0000-0000-000000000000}"/>
  <bookViews>
    <workbookView xWindow="-110" yWindow="-110" windowWidth="19420" windowHeight="10300" xr2:uid="{A9273255-EAC5-416E-B13E-B76FC12C5E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 s="1"/>
  <c r="E5" i="1"/>
  <c r="F5" i="1" s="1"/>
  <c r="F3" i="1"/>
  <c r="F8" i="1"/>
  <c r="F7" i="1"/>
  <c r="F6" i="1"/>
  <c r="E7" i="1"/>
  <c r="E6" i="1"/>
  <c r="E3" i="1"/>
  <c r="E8" i="1"/>
  <c r="D9" i="1"/>
  <c r="E9" i="1" s="1"/>
  <c r="F9" i="1" s="1"/>
  <c r="C9" i="1"/>
  <c r="B9" i="1"/>
  <c r="B11" i="1" l="1"/>
  <c r="B12" i="1" s="1"/>
</calcChain>
</file>

<file path=xl/sharedStrings.xml><?xml version="1.0" encoding="utf-8"?>
<sst xmlns="http://schemas.openxmlformats.org/spreadsheetml/2006/main" count="16" uniqueCount="16">
  <si>
    <t>Assignment No.3 Percentage Calculation in Marksheet</t>
  </si>
  <si>
    <t>Subject</t>
  </si>
  <si>
    <t>Maximum Marks</t>
  </si>
  <si>
    <t>Pass Marks</t>
  </si>
  <si>
    <t>Marks Obtained</t>
  </si>
  <si>
    <t>English</t>
  </si>
  <si>
    <t>Islamiat</t>
  </si>
  <si>
    <t>Urdu</t>
  </si>
  <si>
    <t>Chemistry</t>
  </si>
  <si>
    <t>Biology</t>
  </si>
  <si>
    <t>Physics</t>
  </si>
  <si>
    <t xml:space="preserve">Total </t>
  </si>
  <si>
    <t>P/F</t>
  </si>
  <si>
    <t>Percentage %</t>
  </si>
  <si>
    <t>Round Off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</si>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</sst>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EB13-F567-47F0-AE95-DB755A7FB84B}">
  <dimension ref="A1:F12"/>
  <sheetViews>
    <sheetView tabSelected="1" workbookViewId="0">
      <selection activeCell="E12" sqref="E12"/>
    </sheetView>
  </sheetViews>
  <sheetFormatPr defaultRowHeight="14.5" x14ac:dyDescent="0.35"/>
  <cols>
    <col min="1" max="1" width="14.81640625" customWidth="1"/>
    <col min="2" max="2" width="20.1796875" bestFit="1" customWidth="1"/>
    <col min="3" max="3" width="14" bestFit="1" customWidth="1"/>
    <col min="4" max="4" width="19.26953125" bestFit="1" customWidth="1"/>
    <col min="5" max="5" width="19.26953125" customWidth="1"/>
    <col min="6" max="6" width="10" customWidth="1"/>
  </cols>
  <sheetData>
    <row r="1" spans="1:6" ht="30" customHeight="1" x14ac:dyDescent="0.35">
      <c r="A1" s="10" t="s">
        <v>0</v>
      </c>
      <c r="B1" s="11"/>
      <c r="C1" s="11"/>
      <c r="D1" s="11"/>
      <c r="E1" s="11"/>
      <c r="F1" s="12"/>
    </row>
    <row r="2" spans="1:6" ht="15.5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15</v>
      </c>
      <c r="F2" s="5" t="s">
        <v>12</v>
      </c>
    </row>
    <row r="3" spans="1:6" x14ac:dyDescent="0.35">
      <c r="A3" s="6" t="s">
        <v>5</v>
      </c>
      <c r="B3" s="2">
        <v>100</v>
      </c>
      <c r="C3" s="2">
        <v>33</v>
      </c>
      <c r="D3" s="2">
        <v>55</v>
      </c>
      <c r="E3" s="2" t="str">
        <f>IF(D3&gt;=90,"A+1",IF(D3&gt;=80,"A+",IF(D3&gt;=70,"A",IF(D3&gt;=60,"B",IF(D3&gt;=50,"C",IF(D3&gt;=40,"D","F"))))))</f>
        <v>C</v>
      </c>
      <c r="F3" s="2" t="str">
        <f>IF(E3="A+1","PASS",IF(E3="A+=","PASS",IF(E3="A","PASS",IF(E3="B","PASS",IF(E3="C","PASS",IF(E3="D","PASS",IF(E3="E","PASS","FAIL")))))))</f>
        <v>PASS</v>
      </c>
    </row>
    <row r="4" spans="1:6" x14ac:dyDescent="0.35">
      <c r="A4" s="6" t="s">
        <v>6</v>
      </c>
      <c r="B4" s="2">
        <v>50</v>
      </c>
      <c r="C4" s="2">
        <v>17</v>
      </c>
      <c r="D4" s="2">
        <v>45</v>
      </c>
      <c r="E4" s="2" t="str">
        <f>IF(D4&gt;=45,"A+1",IF(D4&gt;=40,"A+",IF(D4&gt;=35,"A",IF(D4&gt;=30,"B",IF(D4&gt;=25,"C",IF(D4&gt;=20,"D","F"))))))</f>
        <v>A+1</v>
      </c>
      <c r="F4" s="2" t="str">
        <f>IF(E4="A+1","PASS",IF(E4="A+","PASS",IF(E4="A","PASS",IF(E4="B","PASS",IF(E4="C","PASS",IF(E4="D","PASS",IF(E4="E","PASS","FAIL")))))))</f>
        <v>PASS</v>
      </c>
    </row>
    <row r="5" spans="1:6" x14ac:dyDescent="0.35">
      <c r="A5" s="6" t="s">
        <v>7</v>
      </c>
      <c r="B5" s="2">
        <v>100</v>
      </c>
      <c r="C5" s="2">
        <v>33</v>
      </c>
      <c r="D5" s="2">
        <v>60</v>
      </c>
      <c r="E5" s="2" t="str">
        <f>IF(D5&gt;=90,"A+1",IF(D5&gt;=80,"A+",IF(D5&gt;=70,"A",IF(D5&gt;=60,"B",IF(D5&gt;=50,"C",IF(D5&gt;=40,"D","F"))))))</f>
        <v>B</v>
      </c>
      <c r="F5" s="2" t="str">
        <f>IF(E5="A+1","PASS",IF(E5="A+=","PASS",IF(E5="A","PASS",IF(E5="B","PASS",IF(E5="C","PASS",IF(E5="D","PASS",IF(E5="E","PASS","FAIL")))))))</f>
        <v>PASS</v>
      </c>
    </row>
    <row r="6" spans="1:6" x14ac:dyDescent="0.35">
      <c r="A6" s="6" t="s">
        <v>8</v>
      </c>
      <c r="B6" s="2">
        <v>80</v>
      </c>
      <c r="C6" s="2">
        <v>29</v>
      </c>
      <c r="D6" s="2">
        <v>65</v>
      </c>
      <c r="E6" s="2" t="str">
        <f>IF(D6&gt;=90,"A+1",IF(D6&gt;=80,"A+",IF(D6&gt;=70,"A",IF(D6&gt;=60,"B",IF(D6&gt;=50,"C",IF(D6&gt;=40,"D","F"))))))</f>
        <v>B</v>
      </c>
      <c r="F6" s="2" t="str">
        <f>IF(E6="A+1","PASS",IF(E6="A+=","PASS",IF(E6="A","PASS",IF(E6="B","PASS",IF(E6="C","PASS",IF(E6="D","PASS",IF(E6="E","PASS","FAIL")))))))</f>
        <v>PASS</v>
      </c>
    </row>
    <row r="7" spans="1:6" x14ac:dyDescent="0.35">
      <c r="A7" s="6" t="s">
        <v>9</v>
      </c>
      <c r="B7" s="2">
        <v>85</v>
      </c>
      <c r="C7" s="2">
        <v>29</v>
      </c>
      <c r="D7" s="2">
        <v>69</v>
      </c>
      <c r="E7" s="2" t="str">
        <f>IF(D7&gt;=90,"A+1",IF(D7&gt;=80,"A+",IF(D7&gt;=70,"A",IF(D7&gt;=60,"B",IF(D7&gt;=50,"C",IF(D7&gt;=40,"D","F"))))))</f>
        <v>B</v>
      </c>
      <c r="F7" s="2" t="str">
        <f>IF(E7="A+1","PASS",IF(E7="A+=","PASS",IF(E7="A","PASS",IF(E7="B","PASS",IF(E7="C","PASS",IF(E7="D","PASS",IF(E7="E","PASS","FAIL")))))))</f>
        <v>PASS</v>
      </c>
    </row>
    <row r="8" spans="1:6" x14ac:dyDescent="0.35">
      <c r="A8" s="6" t="s">
        <v>10</v>
      </c>
      <c r="B8" s="2">
        <v>85</v>
      </c>
      <c r="C8" s="2">
        <v>29</v>
      </c>
      <c r="D8" s="2">
        <v>59</v>
      </c>
      <c r="E8" s="2" t="str">
        <f>IF(D8&gt;=90,"A+1",IF(D8&gt;=80,"A+",IF(D8&gt;=70,"A",IF(D8&gt;=60,"B",IF(D8&gt;=50,"C",IF(D8&gt;=40,"D","F"))))))</f>
        <v>C</v>
      </c>
      <c r="F8" s="2" t="str">
        <f>IF(E8="A+1","PASS",IF(E8="A+=","PASS",IF(E8="A","PASS",IF(E8="B","PASS",IF(E8="C","PASS",IF(E8="D","PASS",IF(E8="E","PASS","FAIL")))))))</f>
        <v>PASS</v>
      </c>
    </row>
    <row r="9" spans="1:6" x14ac:dyDescent="0.35">
      <c r="A9" s="8" t="s">
        <v>11</v>
      </c>
      <c r="B9" s="2">
        <f>SUM(B3:B8)</f>
        <v>500</v>
      </c>
      <c r="C9" s="2">
        <f>SUM(C3:C8)</f>
        <v>170</v>
      </c>
      <c r="D9" s="2">
        <f>SUM(D3:D8)</f>
        <v>353</v>
      </c>
      <c r="E9" s="9" t="str">
        <f>IF(D9&gt;=450,"A+1",IF(D9&gt;=400,"A+",IF(D9&gt;=350,"A",IF(D9&gt;=300,"B",IF(D9&gt;=250,"C",IF(D9&gt;=200,"D",IF(D9&gt;=170,"E","F")))))))</f>
        <v>A</v>
      </c>
      <c r="F9" s="2" t="str">
        <f>IF(E9="A+1","PASS",IF(E9="A+=","PASS",IF(E9="A","PASS",IF(E9="B","PASS",IF(E9="C","PASS",IF(E9="D","PASS",IF(E9="E","PASS","FAIL")))))))</f>
        <v>PASS</v>
      </c>
    </row>
    <row r="10" spans="1:6" x14ac:dyDescent="0.35">
      <c r="F10" s="1"/>
    </row>
    <row r="11" spans="1:6" ht="15.5" x14ac:dyDescent="0.35">
      <c r="A11" s="7" t="s">
        <v>13</v>
      </c>
      <c r="B11" s="3">
        <f>D9/B9*100</f>
        <v>70.599999999999994</v>
      </c>
      <c r="D11" s="4"/>
      <c r="E11" s="4"/>
    </row>
    <row r="12" spans="1:6" ht="15.5" x14ac:dyDescent="0.35">
      <c r="A12" s="7" t="s">
        <v>14</v>
      </c>
      <c r="B12" s="3">
        <f>ROUND(B11,0)</f>
        <v>71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</dc:creator>
  <cp:lastModifiedBy>Ahmed Raza</cp:lastModifiedBy>
  <dcterms:created xsi:type="dcterms:W3CDTF">2025-03-12T05:57:37Z</dcterms:created>
  <dcterms:modified xsi:type="dcterms:W3CDTF">2025-03-19T19:27:01Z</dcterms:modified>
</cp:coreProperties>
</file>